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" sheetId="1" r:id="rId4"/>
    <sheet state="visible" name="One Sheet" sheetId="2" r:id="rId5"/>
    <sheet state="visible" name="Agro Business " sheetId="3" r:id="rId6"/>
    <sheet state="visible" name="Share" sheetId="4" r:id="rId7"/>
    <sheet state="visible" name="Masala Rates" sheetId="5" r:id="rId8"/>
  </sheets>
  <definedNames/>
  <calcPr/>
  <extLst>
    <ext uri="GoogleSheetsCustomDataVersion1">
      <go:sheetsCustomData xmlns:go="http://customooxmlschemas.google.com/" r:id="rId9" roundtripDataSignature="AMtx7mjevFwoQWU1WTQNVQCWg8RhZBhjuw=="/>
    </ext>
  </extLst>
</workbook>
</file>

<file path=xl/sharedStrings.xml><?xml version="1.0" encoding="utf-8"?>
<sst xmlns="http://schemas.openxmlformats.org/spreadsheetml/2006/main" count="62" uniqueCount="48">
  <si>
    <t>Rate</t>
  </si>
  <si>
    <t>Commission</t>
  </si>
  <si>
    <t>Truck Tonnes</t>
  </si>
  <si>
    <t>Transport Rates</t>
  </si>
  <si>
    <t>Extra Cost</t>
  </si>
  <si>
    <t>Landing Cost</t>
  </si>
  <si>
    <t xml:space="preserve">Sale Rate </t>
  </si>
  <si>
    <t>Profit</t>
  </si>
  <si>
    <t>Item</t>
  </si>
  <si>
    <t>Watermelon</t>
  </si>
  <si>
    <t>TONs</t>
  </si>
  <si>
    <t>Truck Cost</t>
  </si>
  <si>
    <t>Incidentals</t>
  </si>
  <si>
    <t>Cost</t>
  </si>
  <si>
    <t>Selling Price</t>
  </si>
  <si>
    <t>Smart Gains</t>
  </si>
  <si>
    <t xml:space="preserve">Monthly </t>
  </si>
  <si>
    <t>X 10 T</t>
  </si>
  <si>
    <t>10 T Costing</t>
  </si>
  <si>
    <t>x 16 T</t>
  </si>
  <si>
    <t>16 T Costing</t>
  </si>
  <si>
    <t>X 20 T</t>
  </si>
  <si>
    <t>20 T Costing</t>
  </si>
  <si>
    <t>Farmer Advance</t>
  </si>
  <si>
    <t>Profits</t>
  </si>
  <si>
    <t>Reserve</t>
  </si>
  <si>
    <t>Madan</t>
  </si>
  <si>
    <t>Anish</t>
  </si>
  <si>
    <t>Masala</t>
  </si>
  <si>
    <t>Type</t>
  </si>
  <si>
    <t>Remark</t>
  </si>
  <si>
    <t>Percentage</t>
  </si>
  <si>
    <t>Customer Rate</t>
  </si>
  <si>
    <t>Red Chili</t>
  </si>
  <si>
    <t>Dandi Cut</t>
  </si>
  <si>
    <t>Hot</t>
  </si>
  <si>
    <t>Kashmiri</t>
  </si>
  <si>
    <t>Goldd Kashmiri</t>
  </si>
  <si>
    <t>jj</t>
  </si>
  <si>
    <t>Haldi</t>
  </si>
  <si>
    <t>Irode</t>
  </si>
  <si>
    <t>Selam</t>
  </si>
  <si>
    <t>Dhana Powder</t>
  </si>
  <si>
    <t>Only Dhana</t>
  </si>
  <si>
    <t>Dhana + Jeera</t>
  </si>
  <si>
    <t>Garam Masala</t>
  </si>
  <si>
    <t>Achar Masala</t>
  </si>
  <si>
    <t>Rai + Methi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</si>
</sst>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\(#,##0\)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b/>
      <i/>
      <sz val="8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5" fillId="0" fontId="3" numFmtId="0" xfId="0" applyAlignment="1" applyBorder="1" applyFont="1">
      <alignment horizontal="right" shrinkToFit="0" vertical="top" wrapText="1"/>
    </xf>
    <xf borderId="0" fillId="0" fontId="4" numFmtId="0" xfId="0" applyFont="1"/>
    <xf borderId="6" fillId="0" fontId="4" numFmtId="0" xfId="0" applyBorder="1" applyFont="1"/>
    <xf borderId="7" fillId="0" fontId="3" numFmtId="0" xfId="0" applyAlignment="1" applyBorder="1" applyFont="1">
      <alignment horizontal="right" shrinkToFit="0" vertical="top" wrapText="1"/>
    </xf>
    <xf borderId="8" fillId="0" fontId="5" numFmtId="0" xfId="0" applyBorder="1" applyFont="1"/>
    <xf borderId="6" fillId="0" fontId="5" numFmtId="0" xfId="0" applyBorder="1" applyFont="1"/>
    <xf borderId="9" fillId="0" fontId="3" numFmtId="0" xfId="0" applyAlignment="1" applyBorder="1" applyFont="1">
      <alignment horizontal="right" shrinkToFit="0" vertical="top" wrapText="1"/>
    </xf>
    <xf borderId="10" fillId="0" fontId="5" numFmtId="0" xfId="0" applyBorder="1" applyFont="1"/>
    <xf borderId="7" fillId="0" fontId="6" numFmtId="0" xfId="0" applyAlignment="1" applyBorder="1" applyFont="1">
      <alignment horizontal="right" shrinkToFit="0" vertical="top" wrapText="1"/>
    </xf>
    <xf borderId="11" fillId="0" fontId="5" numFmtId="0" xfId="0" applyBorder="1" applyFont="1"/>
    <xf borderId="12" fillId="0" fontId="5" numFmtId="0" xfId="0" applyBorder="1" applyFont="1"/>
    <xf borderId="7" fillId="0" fontId="7" numFmtId="0" xfId="0" applyAlignment="1" applyBorder="1" applyFont="1">
      <alignment horizontal="right" shrinkToFit="0" vertical="top" wrapText="1"/>
    </xf>
    <xf borderId="0" fillId="0" fontId="5" numFmtId="164" xfId="0" applyFont="1" applyNumberFormat="1"/>
    <xf borderId="6" fillId="0" fontId="5" numFmtId="164" xfId="0" applyBorder="1" applyFont="1" applyNumberFormat="1"/>
    <xf borderId="13" fillId="3" fontId="8" numFmtId="0" xfId="0" applyAlignment="1" applyBorder="1" applyFill="1" applyFont="1">
      <alignment horizontal="right" shrinkToFit="0" vertical="top" wrapText="1"/>
    </xf>
    <xf borderId="14" fillId="4" fontId="3" numFmtId="164" xfId="0" applyBorder="1" applyFill="1" applyFont="1" applyNumberFormat="1"/>
    <xf borderId="0" fillId="0" fontId="3" numFmtId="0" xfId="0" applyFont="1"/>
    <xf borderId="0" fillId="0" fontId="5" numFmtId="0" xfId="0" applyFont="1"/>
    <xf borderId="15" fillId="2" fontId="3" numFmtId="0" xfId="0" applyBorder="1" applyFont="1"/>
    <xf borderId="1" fillId="5" fontId="3" numFmtId="0" xfId="0" applyBorder="1" applyFill="1" applyFont="1"/>
    <xf borderId="16" fillId="5" fontId="3" numFmtId="1" xfId="0" applyBorder="1" applyFont="1" applyNumberFormat="1"/>
    <xf borderId="1" fillId="5" fontId="9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6" width="8.63"/>
  </cols>
  <sheetData>
    <row r="1" ht="12.75" customHeight="1">
      <c r="A1" s="1" t="s">
        <v>0</v>
      </c>
      <c r="B1" s="1">
        <v>8.0</v>
      </c>
    </row>
    <row r="2" ht="12.75" customHeight="1">
      <c r="A2" s="1" t="s">
        <v>1</v>
      </c>
      <c r="B2" s="1">
        <v>0.5</v>
      </c>
    </row>
    <row r="3" ht="12.75" customHeight="1">
      <c r="A3" s="1" t="s">
        <v>2</v>
      </c>
      <c r="B3" s="1">
        <v>16.0</v>
      </c>
    </row>
    <row r="4" ht="12.75" customHeight="1">
      <c r="A4" s="1" t="s">
        <v>3</v>
      </c>
      <c r="B4" s="1">
        <v>36000.0</v>
      </c>
    </row>
    <row r="5" ht="12.75" customHeight="1">
      <c r="A5" s="1" t="s">
        <v>4</v>
      </c>
      <c r="B5" s="1">
        <v>2000.0</v>
      </c>
    </row>
    <row r="6" ht="12.75" customHeight="1">
      <c r="A6" s="2" t="s">
        <v>5</v>
      </c>
      <c r="B6" s="2">
        <f>(B1+B2)*(B3*1000)+B5+B4</f>
        <v>174000</v>
      </c>
    </row>
    <row r="7" ht="12.75" customHeight="1">
      <c r="A7" s="1" t="s">
        <v>6</v>
      </c>
      <c r="B7" s="1">
        <v>11.0</v>
      </c>
    </row>
    <row r="8" ht="12.75" customHeight="1">
      <c r="A8" s="2" t="s">
        <v>7</v>
      </c>
      <c r="B8" s="2">
        <f>(B7*(B3*1000))-B6</f>
        <v>2000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2.25"/>
  </cols>
  <sheetData>
    <row r="1" ht="15.75" customHeight="1">
      <c r="A1" s="3" t="s">
        <v>8</v>
      </c>
      <c r="B1" s="1" t="s">
        <v>9</v>
      </c>
      <c r="C1" s="4"/>
      <c r="D1" s="4"/>
      <c r="E1" s="5"/>
      <c r="F1" s="6"/>
    </row>
    <row r="2" ht="15.75" customHeight="1">
      <c r="A2" s="7" t="s">
        <v>0</v>
      </c>
      <c r="B2" s="1">
        <v>0.5</v>
      </c>
      <c r="C2" s="8">
        <f>$B$2*C3</f>
        <v>2500</v>
      </c>
      <c r="D2" s="8">
        <f>$B$2*D6</f>
        <v>0</v>
      </c>
      <c r="E2" s="9">
        <f>$B$2*E8</f>
        <v>0</v>
      </c>
    </row>
    <row r="3" ht="15.75" customHeight="1">
      <c r="A3" s="7" t="s">
        <v>1</v>
      </c>
      <c r="B3" s="1">
        <v>0.5</v>
      </c>
      <c r="C3" s="8">
        <f>$B$3*C4</f>
        <v>5000</v>
      </c>
      <c r="D3" s="8">
        <f>$B$3*D6</f>
        <v>0</v>
      </c>
      <c r="E3" s="9">
        <f>$B$3*E8</f>
        <v>0</v>
      </c>
    </row>
    <row r="4" ht="15.75" customHeight="1">
      <c r="A4" s="10" t="s">
        <v>10</v>
      </c>
      <c r="B4" s="1">
        <v>10.0</v>
      </c>
      <c r="C4" s="11">
        <v>10000.0</v>
      </c>
      <c r="E4" s="12"/>
    </row>
    <row r="5" ht="15.75" customHeight="1">
      <c r="A5" s="13" t="s">
        <v>11</v>
      </c>
      <c r="B5" s="1">
        <v>25000.0</v>
      </c>
      <c r="C5" s="14">
        <f>B5/10000</f>
        <v>2.5</v>
      </c>
      <c r="E5" s="12"/>
    </row>
    <row r="6" ht="15.75" customHeight="1">
      <c r="A6" s="15"/>
      <c r="C6" s="16"/>
      <c r="D6" s="11"/>
      <c r="E6" s="12"/>
    </row>
    <row r="7" ht="15.75" customHeight="1">
      <c r="A7" s="13"/>
      <c r="C7" s="17"/>
      <c r="D7" s="14"/>
      <c r="E7" s="12"/>
    </row>
    <row r="8" ht="15.75" customHeight="1">
      <c r="A8" s="18"/>
      <c r="C8" s="16"/>
      <c r="D8" s="16"/>
      <c r="E8" s="11"/>
    </row>
    <row r="9" ht="15.75" customHeight="1">
      <c r="A9" s="13"/>
      <c r="C9" s="17"/>
      <c r="D9" s="17"/>
      <c r="E9" s="14"/>
    </row>
    <row r="10" ht="15.75" customHeight="1">
      <c r="A10" s="7"/>
      <c r="E10" s="12"/>
    </row>
    <row r="11" ht="15.75" customHeight="1">
      <c r="A11" s="7" t="s">
        <v>12</v>
      </c>
      <c r="B11" s="1">
        <v>5000.0</v>
      </c>
      <c r="D11" s="19">
        <v>8000.0</v>
      </c>
      <c r="E11" s="20">
        <v>12000.0</v>
      </c>
    </row>
    <row r="12" ht="15.75" customHeight="1">
      <c r="A12" s="7" t="s">
        <v>13</v>
      </c>
      <c r="D12" s="19">
        <f>(($B$2+$B$3+D7)*D6)+D11</f>
        <v>8000</v>
      </c>
      <c r="E12" s="20">
        <f>(($B$2+$B$3+E9)*E8)+E11</f>
        <v>12000</v>
      </c>
    </row>
    <row r="13" ht="15.75" customHeight="1">
      <c r="A13" s="7" t="s">
        <v>14</v>
      </c>
      <c r="B13" s="1">
        <v>22.0</v>
      </c>
      <c r="D13" s="19">
        <f>B$13*D6</f>
        <v>0</v>
      </c>
      <c r="E13" s="20">
        <f>B$13*E8</f>
        <v>0</v>
      </c>
    </row>
    <row r="14" ht="15.75" customHeight="1">
      <c r="A14" s="21" t="s">
        <v>15</v>
      </c>
      <c r="B14" s="1">
        <v>5000.0</v>
      </c>
      <c r="D14" s="19"/>
      <c r="E14" s="20"/>
    </row>
    <row r="15" ht="15.75" customHeight="1">
      <c r="B15" s="1">
        <f>(B2+B3)+(B4*1000)</f>
        <v>10001</v>
      </c>
      <c r="E15" s="12"/>
    </row>
    <row r="16" ht="15.75" customHeight="1">
      <c r="A16" s="13" t="s">
        <v>7</v>
      </c>
      <c r="B16" s="1">
        <f>B$13*C4</f>
        <v>220000</v>
      </c>
      <c r="D16" s="22">
        <f t="shared" ref="D16:E16" si="1">(D13-D12)+D15</f>
        <v>-8000</v>
      </c>
      <c r="E16" s="22">
        <f t="shared" si="1"/>
        <v>-12000</v>
      </c>
    </row>
    <row r="17" ht="15.75" customHeight="1"/>
    <row r="18" ht="15.75" customHeight="1">
      <c r="A18" s="23" t="s">
        <v>16</v>
      </c>
      <c r="D18" s="24">
        <f t="shared" ref="D18:D20" si="2">F18*$D$16</f>
        <v>-24000</v>
      </c>
      <c r="E18" s="24">
        <f t="shared" ref="E18:E20" si="3">F18*$E$16</f>
        <v>-36000</v>
      </c>
      <c r="F18" s="24">
        <v>3.0</v>
      </c>
    </row>
    <row r="19" ht="15.75" customHeight="1">
      <c r="B19" s="1">
        <f>(B16-B15)+B18</f>
        <v>209999</v>
      </c>
      <c r="D19" s="24">
        <f t="shared" si="2"/>
        <v>-40000</v>
      </c>
      <c r="E19" s="24">
        <f t="shared" si="3"/>
        <v>-60000</v>
      </c>
      <c r="F19" s="24">
        <v>5.0</v>
      </c>
    </row>
    <row r="20" ht="15.75" customHeight="1">
      <c r="D20" s="24">
        <f t="shared" si="2"/>
        <v>-80000</v>
      </c>
      <c r="E20" s="24">
        <f t="shared" si="3"/>
        <v>-120000</v>
      </c>
      <c r="F20" s="24">
        <v>10.0</v>
      </c>
    </row>
    <row r="21" ht="15.75" customHeight="1">
      <c r="B21" s="1">
        <f t="shared" ref="B21:B23" si="4">F18*$B$19</f>
        <v>629997</v>
      </c>
    </row>
    <row r="22" ht="15.75" customHeight="1">
      <c r="B22" s="1">
        <f t="shared" si="4"/>
        <v>1049995</v>
      </c>
    </row>
    <row r="23" ht="15.75" customHeight="1">
      <c r="B23" s="1">
        <f t="shared" si="4"/>
        <v>2099990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2.25"/>
  </cols>
  <sheetData>
    <row r="1" ht="15.75" customHeight="1">
      <c r="A1" s="3" t="s">
        <v>8</v>
      </c>
      <c r="B1" s="25" t="s">
        <v>9</v>
      </c>
      <c r="C1" s="4"/>
      <c r="D1" s="4"/>
      <c r="E1" s="5"/>
      <c r="F1" s="6"/>
    </row>
    <row r="2" ht="15.75" customHeight="1">
      <c r="A2" s="7" t="s">
        <v>0</v>
      </c>
      <c r="B2" s="26">
        <v>14.0</v>
      </c>
      <c r="C2" s="8">
        <f>$B$2*C3</f>
        <v>140000</v>
      </c>
      <c r="D2" s="8">
        <f>$B$2*D6</f>
        <v>224000</v>
      </c>
      <c r="E2" s="9">
        <f>$B$2*E8</f>
        <v>280000</v>
      </c>
    </row>
    <row r="3" ht="15.75" customHeight="1">
      <c r="A3" s="7" t="s">
        <v>1</v>
      </c>
      <c r="B3" s="26">
        <v>1.0</v>
      </c>
      <c r="C3" s="8">
        <f>$B$3*C4</f>
        <v>10000</v>
      </c>
      <c r="D3" s="8">
        <f>$B$3*D6</f>
        <v>16000</v>
      </c>
      <c r="E3" s="9">
        <f>$B$3*E8</f>
        <v>20000</v>
      </c>
    </row>
    <row r="4" ht="15.75" customHeight="1">
      <c r="A4" s="10" t="s">
        <v>17</v>
      </c>
      <c r="B4" s="27">
        <v>25000.0</v>
      </c>
      <c r="C4" s="11">
        <v>10000.0</v>
      </c>
      <c r="E4" s="12"/>
    </row>
    <row r="5" ht="15.75" customHeight="1">
      <c r="A5" s="13" t="s">
        <v>18</v>
      </c>
      <c r="B5" s="17"/>
      <c r="C5" s="14">
        <f>B4/10000</f>
        <v>2.5</v>
      </c>
      <c r="E5" s="12"/>
    </row>
    <row r="6" ht="15.75" customHeight="1">
      <c r="A6" s="15" t="s">
        <v>19</v>
      </c>
      <c r="B6" s="27">
        <v>36000.0</v>
      </c>
      <c r="C6" s="16"/>
      <c r="D6" s="11">
        <v>16000.0</v>
      </c>
      <c r="E6" s="12"/>
    </row>
    <row r="7" ht="15.75" customHeight="1">
      <c r="A7" s="13" t="s">
        <v>20</v>
      </c>
      <c r="B7" s="17"/>
      <c r="C7" s="17"/>
      <c r="D7" s="14">
        <f>B6/16000</f>
        <v>2.25</v>
      </c>
      <c r="E7" s="12"/>
    </row>
    <row r="8" ht="15.75" customHeight="1">
      <c r="A8" s="18" t="s">
        <v>21</v>
      </c>
      <c r="B8" s="27">
        <v>44000.0</v>
      </c>
      <c r="C8" s="16"/>
      <c r="D8" s="16"/>
      <c r="E8" s="11">
        <v>20000.0</v>
      </c>
    </row>
    <row r="9" ht="15.75" customHeight="1">
      <c r="A9" s="13" t="s">
        <v>22</v>
      </c>
      <c r="B9" s="17"/>
      <c r="C9" s="17"/>
      <c r="D9" s="17"/>
      <c r="E9" s="14">
        <f>B8/20000</f>
        <v>2.2</v>
      </c>
    </row>
    <row r="10" ht="15.75" customHeight="1">
      <c r="A10" s="7" t="s">
        <v>23</v>
      </c>
      <c r="E10" s="12"/>
    </row>
    <row r="11" ht="15.75" customHeight="1">
      <c r="A11" s="7" t="s">
        <v>12</v>
      </c>
      <c r="C11" s="19">
        <v>5000.0</v>
      </c>
      <c r="D11" s="19">
        <v>0.0</v>
      </c>
      <c r="E11" s="20">
        <v>12000.0</v>
      </c>
    </row>
    <row r="12" ht="15.75" customHeight="1">
      <c r="A12" s="7" t="s">
        <v>13</v>
      </c>
      <c r="C12" s="19">
        <f>(($B$2+$B$3+C5)*C4)+C11</f>
        <v>180000</v>
      </c>
      <c r="D12" s="19">
        <f>(($B$2+$B$3+D7)*D6)+D11</f>
        <v>276000</v>
      </c>
      <c r="E12" s="20">
        <f>(($B$2+$B$3+E9)*E8)+E11</f>
        <v>356000</v>
      </c>
    </row>
    <row r="13" ht="15.75" customHeight="1">
      <c r="A13" s="7" t="s">
        <v>14</v>
      </c>
      <c r="B13" s="28">
        <v>22.0</v>
      </c>
      <c r="C13" s="19">
        <f>B$13*C4</f>
        <v>220000</v>
      </c>
      <c r="D13" s="19">
        <f>B$13*D6</f>
        <v>352000</v>
      </c>
      <c r="E13" s="20">
        <f>B$13*E8</f>
        <v>440000</v>
      </c>
    </row>
    <row r="14" ht="15.75" customHeight="1">
      <c r="A14" s="21" t="s">
        <v>15</v>
      </c>
      <c r="E14" s="12"/>
    </row>
    <row r="15" ht="15.75" customHeight="1">
      <c r="A15" s="13" t="s">
        <v>7</v>
      </c>
      <c r="B15" s="17"/>
      <c r="C15" s="22">
        <f t="shared" ref="C15:E15" si="1">(C13-C12)+C14</f>
        <v>40000</v>
      </c>
      <c r="D15" s="22">
        <f t="shared" si="1"/>
        <v>76000</v>
      </c>
      <c r="E15" s="22">
        <f t="shared" si="1"/>
        <v>84000</v>
      </c>
    </row>
    <row r="16" ht="15.75" customHeight="1"/>
    <row r="17" ht="15.75" customHeight="1">
      <c r="A17" s="23" t="s">
        <v>16</v>
      </c>
      <c r="B17" s="24">
        <v>3.0</v>
      </c>
      <c r="C17" s="24">
        <f t="shared" ref="C17:C19" si="2">B17*$C$15</f>
        <v>120000</v>
      </c>
      <c r="D17" s="24">
        <f t="shared" ref="D17:D19" si="3">B17*$D$15</f>
        <v>228000</v>
      </c>
      <c r="E17" s="24">
        <f t="shared" ref="E17:E19" si="4">B17*$E$15</f>
        <v>252000</v>
      </c>
    </row>
    <row r="18" ht="15.75" customHeight="1">
      <c r="B18" s="24">
        <v>5.0</v>
      </c>
      <c r="C18" s="24">
        <f t="shared" si="2"/>
        <v>200000</v>
      </c>
      <c r="D18" s="24">
        <f t="shared" si="3"/>
        <v>380000</v>
      </c>
      <c r="E18" s="24">
        <f t="shared" si="4"/>
        <v>420000</v>
      </c>
    </row>
    <row r="19" ht="15.75" customHeight="1">
      <c r="B19" s="24">
        <v>10.0</v>
      </c>
      <c r="C19" s="24">
        <f t="shared" si="2"/>
        <v>400000</v>
      </c>
      <c r="D19" s="24">
        <f t="shared" si="3"/>
        <v>760000</v>
      </c>
      <c r="E19" s="24">
        <f t="shared" si="4"/>
        <v>840000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>
        <f>SUM(B1:D1)</f>
        <v>100</v>
      </c>
      <c r="B1" s="24">
        <v>20.0</v>
      </c>
      <c r="C1" s="24">
        <v>45.0</v>
      </c>
      <c r="D1" s="24">
        <v>35.0</v>
      </c>
    </row>
    <row r="2" ht="15.75" customHeight="1">
      <c r="A2" s="23" t="s">
        <v>24</v>
      </c>
      <c r="B2" s="23" t="s">
        <v>25</v>
      </c>
      <c r="C2" s="23" t="s">
        <v>26</v>
      </c>
      <c r="D2" s="23" t="s">
        <v>27</v>
      </c>
    </row>
    <row r="3" ht="15.75" customHeight="1">
      <c r="A3" s="19">
        <f>'Agro Business '!C15</f>
        <v>40000</v>
      </c>
      <c r="B3" s="24">
        <f t="shared" ref="B3:B5" si="1">A3*20%</f>
        <v>8000</v>
      </c>
      <c r="C3" s="24">
        <f t="shared" ref="C3:C5" si="2">A3*45%</f>
        <v>18000</v>
      </c>
      <c r="D3" s="24">
        <f t="shared" ref="D3:D5" si="3">A3*35%</f>
        <v>14000</v>
      </c>
    </row>
    <row r="4" ht="15.75" customHeight="1">
      <c r="A4" s="19">
        <f>'Agro Business '!D15</f>
        <v>76000</v>
      </c>
      <c r="B4" s="24">
        <f t="shared" si="1"/>
        <v>15200</v>
      </c>
      <c r="C4" s="24">
        <f t="shared" si="2"/>
        <v>34200</v>
      </c>
      <c r="D4" s="24">
        <f t="shared" si="3"/>
        <v>26600</v>
      </c>
    </row>
    <row r="5" ht="15.75" customHeight="1">
      <c r="A5" s="19">
        <f>'Agro Business '!E15</f>
        <v>84000</v>
      </c>
      <c r="B5" s="24">
        <f t="shared" si="1"/>
        <v>16800</v>
      </c>
      <c r="C5" s="24">
        <f t="shared" si="2"/>
        <v>37800</v>
      </c>
      <c r="D5" s="24">
        <f t="shared" si="3"/>
        <v>29400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8.63"/>
  </cols>
  <sheetData>
    <row r="1" ht="12.75" customHeight="1"/>
    <row r="2" ht="12.75" customHeight="1">
      <c r="A2" s="1" t="s">
        <v>28</v>
      </c>
      <c r="B2" s="1" t="s">
        <v>29</v>
      </c>
      <c r="C2" s="1" t="s">
        <v>30</v>
      </c>
      <c r="D2" s="1" t="s">
        <v>0</v>
      </c>
      <c r="E2" s="29" t="s">
        <v>31</v>
      </c>
      <c r="F2" s="1" t="s">
        <v>32</v>
      </c>
    </row>
    <row r="3" ht="12.75" customHeight="1">
      <c r="A3" s="1" t="s">
        <v>33</v>
      </c>
    </row>
    <row r="4" ht="12.75" customHeight="1">
      <c r="B4" s="1" t="s">
        <v>34</v>
      </c>
      <c r="D4" s="1">
        <v>305.0</v>
      </c>
      <c r="F4" s="1">
        <f t="shared" ref="F4:F20" si="1">D4*0.3</f>
        <v>91.5</v>
      </c>
    </row>
    <row r="5" ht="12.75" customHeight="1">
      <c r="B5" s="1" t="s">
        <v>35</v>
      </c>
      <c r="D5" s="1">
        <v>300.0</v>
      </c>
      <c r="F5" s="1">
        <f t="shared" si="1"/>
        <v>90</v>
      </c>
    </row>
    <row r="6" ht="12.75" customHeight="1">
      <c r="B6" s="1" t="s">
        <v>36</v>
      </c>
      <c r="D6" s="1">
        <v>560.0</v>
      </c>
      <c r="F6" s="1">
        <f t="shared" si="1"/>
        <v>168</v>
      </c>
    </row>
    <row r="7" ht="12.75" customHeight="1">
      <c r="B7" s="1" t="s">
        <v>37</v>
      </c>
      <c r="D7" s="1">
        <v>600.0</v>
      </c>
      <c r="F7" s="1">
        <f t="shared" si="1"/>
        <v>180</v>
      </c>
      <c r="J7" s="29" t="s">
        <v>38</v>
      </c>
    </row>
    <row r="8" ht="12.75" customHeight="1">
      <c r="F8" s="1">
        <f t="shared" si="1"/>
        <v>0</v>
      </c>
    </row>
    <row r="9" ht="12.75" customHeight="1">
      <c r="A9" s="1" t="s">
        <v>39</v>
      </c>
      <c r="F9" s="1">
        <f t="shared" si="1"/>
        <v>0</v>
      </c>
    </row>
    <row r="10" ht="12.75" customHeight="1">
      <c r="B10" s="1" t="s">
        <v>40</v>
      </c>
      <c r="D10" s="1">
        <v>105.0</v>
      </c>
      <c r="F10" s="1">
        <f t="shared" si="1"/>
        <v>31.5</v>
      </c>
    </row>
    <row r="11" ht="12.75" customHeight="1">
      <c r="B11" s="1" t="s">
        <v>41</v>
      </c>
      <c r="D11" s="1">
        <v>115.0</v>
      </c>
      <c r="F11" s="1">
        <f t="shared" si="1"/>
        <v>34.5</v>
      </c>
    </row>
    <row r="12" ht="12.75" customHeight="1">
      <c r="F12" s="1">
        <f t="shared" si="1"/>
        <v>0</v>
      </c>
    </row>
    <row r="13" ht="12.75" customHeight="1">
      <c r="A13" s="1" t="s">
        <v>42</v>
      </c>
      <c r="F13" s="1">
        <f t="shared" si="1"/>
        <v>0</v>
      </c>
    </row>
    <row r="14" ht="12.75" customHeight="1">
      <c r="B14" s="1" t="s">
        <v>43</v>
      </c>
      <c r="D14" s="1">
        <v>205.0</v>
      </c>
      <c r="F14" s="1">
        <f t="shared" si="1"/>
        <v>61.5</v>
      </c>
    </row>
    <row r="15" ht="12.75" customHeight="1">
      <c r="B15" s="1" t="s">
        <v>44</v>
      </c>
      <c r="D15" s="1">
        <v>220.0</v>
      </c>
      <c r="F15" s="1">
        <f t="shared" si="1"/>
        <v>66</v>
      </c>
    </row>
    <row r="16" ht="12.75" customHeight="1">
      <c r="F16" s="1">
        <f t="shared" si="1"/>
        <v>0</v>
      </c>
    </row>
    <row r="17" ht="12.75" customHeight="1">
      <c r="A17" s="1" t="s">
        <v>45</v>
      </c>
      <c r="D17" s="1">
        <v>280.0</v>
      </c>
      <c r="F17" s="1">
        <f t="shared" si="1"/>
        <v>84</v>
      </c>
    </row>
    <row r="18" ht="12.75" customHeight="1">
      <c r="F18" s="1">
        <f t="shared" si="1"/>
        <v>0</v>
      </c>
    </row>
    <row r="19" ht="12.75" customHeight="1">
      <c r="A19" s="1" t="s">
        <v>46</v>
      </c>
      <c r="F19" s="1">
        <f t="shared" si="1"/>
        <v>0</v>
      </c>
    </row>
    <row r="20" ht="12.75" customHeight="1">
      <c r="B20" s="1" t="s">
        <v>47</v>
      </c>
      <c r="D20" s="1">
        <v>330.0</v>
      </c>
      <c r="F20" s="1">
        <f t="shared" si="1"/>
        <v>99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